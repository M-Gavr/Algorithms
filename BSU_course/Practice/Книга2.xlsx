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pp\2025\02\"/>
    </mc:Choice>
  </mc:AlternateContent>
  <bookViews>
    <workbookView xWindow="0" yWindow="0" windowWidth="25200" windowHeight="11880" activeTab="1"/>
  </bookViews>
  <sheets>
    <sheet name="Лист1" sheetId="1" r:id="rId1"/>
    <sheet name="Лист2" sheetId="2" r:id="rId2"/>
    <sheet name="Лист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8" i="3" l="1"/>
  <c r="J47" i="3"/>
  <c r="M38" i="3"/>
  <c r="M34" i="3"/>
  <c r="M32" i="3"/>
  <c r="M28" i="3"/>
  <c r="M26" i="3"/>
  <c r="H23" i="3"/>
  <c r="I23" i="3"/>
  <c r="G23" i="3" s="1"/>
  <c r="F23" i="3" s="1"/>
  <c r="E23" i="3" s="1"/>
  <c r="D23" i="3" s="1"/>
  <c r="M24" i="3" s="1"/>
  <c r="J23" i="3"/>
  <c r="K21" i="1" l="1"/>
  <c r="L21" i="1" s="1"/>
  <c r="M21" i="1" s="1"/>
  <c r="F21" i="1"/>
  <c r="G21" i="1" s="1"/>
  <c r="H21" i="1" s="1"/>
  <c r="I21" i="1" s="1"/>
  <c r="J21" i="1" s="1"/>
  <c r="E21" i="1"/>
  <c r="D12" i="1"/>
  <c r="E12" i="1" s="1"/>
  <c r="F12" i="1" s="1"/>
  <c r="G12" i="1" s="1"/>
  <c r="H12" i="1" s="1"/>
  <c r="I12" i="1" s="1"/>
  <c r="J12" i="1" s="1"/>
</calcChain>
</file>

<file path=xl/sharedStrings.xml><?xml version="1.0" encoding="utf-8"?>
<sst xmlns="http://schemas.openxmlformats.org/spreadsheetml/2006/main" count="121" uniqueCount="60">
  <si>
    <t>рекуррентное соотношение</t>
  </si>
  <si>
    <t>рекурсия</t>
  </si>
  <si>
    <t>динамическое программирование</t>
  </si>
  <si>
    <t>факториал</t>
  </si>
  <si>
    <t>n! = 1 * 2 * … * n</t>
  </si>
  <si>
    <t>n! = (n - 1)! * n</t>
  </si>
  <si>
    <t>рекурсивная функция</t>
  </si>
  <si>
    <t>ограничение</t>
  </si>
  <si>
    <t>0! = 1</t>
  </si>
  <si>
    <t>числа Фибоначчи</t>
  </si>
  <si>
    <t>F(n) = F(n - 1) + F(n - 2)</t>
  </si>
  <si>
    <t>F(0) = 0</t>
  </si>
  <si>
    <t>F(1) = 1</t>
  </si>
  <si>
    <t>мемоизация</t>
  </si>
  <si>
    <t>Ханойские башни</t>
  </si>
  <si>
    <t>P(1) = 1</t>
  </si>
  <si>
    <t>P(2) = 3</t>
  </si>
  <si>
    <t>P(3) = 7</t>
  </si>
  <si>
    <t>P(n) = 2 * P(n - 1) + 1</t>
  </si>
  <si>
    <t>P(n) = 2^n - 1</t>
  </si>
  <si>
    <t xml:space="preserve"> -&gt; </t>
  </si>
  <si>
    <t>+</t>
  </si>
  <si>
    <t>=</t>
  </si>
  <si>
    <t>игра Баше</t>
  </si>
  <si>
    <t>n</t>
  </si>
  <si>
    <t xml:space="preserve">1 &lt;= x &lt;= k = </t>
  </si>
  <si>
    <t>(n - 1) % (k + 1) == 0</t>
  </si>
  <si>
    <t xml:space="preserve"> != 0</t>
  </si>
  <si>
    <t>@</t>
  </si>
  <si>
    <t>m</t>
  </si>
  <si>
    <t>x</t>
  </si>
  <si>
    <t>простое число</t>
  </si>
  <si>
    <t>n/2</t>
  </si>
  <si>
    <t>n/3</t>
  </si>
  <si>
    <t>a*a = n</t>
  </si>
  <si>
    <t>a = sqrt(n)</t>
  </si>
  <si>
    <t>O(sqrt(n))</t>
  </si>
  <si>
    <t>разложение на простые множители</t>
  </si>
  <si>
    <t>решето Эратосфена</t>
  </si>
  <si>
    <t>*</t>
  </si>
  <si>
    <t>^</t>
  </si>
  <si>
    <t>sieve</t>
  </si>
  <si>
    <t>|</t>
  </si>
  <si>
    <t>?</t>
  </si>
  <si>
    <t>x &lt;&lt; 3</t>
  </si>
  <si>
    <t>x &gt;&gt; 4</t>
  </si>
  <si>
    <t>1 &lt;&lt; n</t>
  </si>
  <si>
    <t>x &amp; (1 &lt;&lt; n)</t>
  </si>
  <si>
    <t>x | (1 &lt;&lt; n)</t>
  </si>
  <si>
    <t>x &amp; ~(1 &lt;&lt; n)</t>
  </si>
  <si>
    <t>x^y</t>
  </si>
  <si>
    <t>побитовые операции</t>
  </si>
  <si>
    <t>НОД GCD</t>
  </si>
  <si>
    <t>НОК LCM</t>
  </si>
  <si>
    <t>алгоритм Евклида</t>
  </si>
  <si>
    <t>a * b = НОД * НОК</t>
  </si>
  <si>
    <t>n = n % 3 + 3</t>
  </si>
  <si>
    <t>m = m % 2 + 2</t>
  </si>
  <si>
    <t>(n - 1) % 3  == 0 &amp;&amp;  (m - 1) % 2 == 1</t>
  </si>
  <si>
    <t>(n - 1) % 3  == 1 &amp;&amp;  (m - 1) % 2 ==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</si>
</sst>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theme="0" tint="-0.34998626667073579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2" borderId="7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5" xfId="0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3" fillId="0" borderId="0" xfId="0" applyFont="1"/>
    <xf numFmtId="0" fontId="0" fillId="0" borderId="0" xfId="0" applyAlignment="1">
      <alignment horizontal="right"/>
    </xf>
    <xf numFmtId="0" fontId="0" fillId="3" borderId="0" xfId="0" applyFill="1" applyAlignment="1">
      <alignment horizontal="center"/>
    </xf>
    <xf numFmtId="0" fontId="0" fillId="4" borderId="15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20" xfId="0" applyBorder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/>
    <xf numFmtId="0" fontId="0" fillId="0" borderId="34" xfId="0" applyBorder="1"/>
    <xf numFmtId="0" fontId="0" fillId="0" borderId="25" xfId="0" applyBorder="1" applyAlignment="1">
      <alignment horizontal="center"/>
    </xf>
    <xf numFmtId="0" fontId="0" fillId="4" borderId="30" xfId="0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0" fontId="0" fillId="4" borderId="28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0" fillId="0" borderId="7" xfId="0" applyBorder="1"/>
  </cellXfs>
  <cellStyles count="1">
    <cellStyle name="Обычный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167105</xdr:colOff>
      <xdr:row>32</xdr:row>
      <xdr:rowOff>100264</xdr:rowOff>
    </xdr:from>
    <xdr:to>
      <xdr:col>14</xdr:col>
      <xdr:colOff>103605</xdr:colOff>
      <xdr:row>32</xdr:row>
      <xdr:rowOff>183817</xdr:rowOff>
    </xdr:to>
    <xdr:sp macro="" textlink="">
      <xdr:nvSpPr>
        <xdr:cNvPr id="2" name="Прямоугольник 1"/>
        <xdr:cNvSpPr/>
      </xdr:nvSpPr>
      <xdr:spPr>
        <a:xfrm>
          <a:off x="2794000" y="6035843"/>
          <a:ext cx="334210" cy="8355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180471</xdr:colOff>
      <xdr:row>30</xdr:row>
      <xdr:rowOff>40104</xdr:rowOff>
    </xdr:from>
    <xdr:to>
      <xdr:col>14</xdr:col>
      <xdr:colOff>86893</xdr:colOff>
      <xdr:row>32</xdr:row>
      <xdr:rowOff>73525</xdr:rowOff>
    </xdr:to>
    <xdr:sp macro="" textlink="">
      <xdr:nvSpPr>
        <xdr:cNvPr id="3" name="Равнобедренный треугольник 2"/>
        <xdr:cNvSpPr/>
      </xdr:nvSpPr>
      <xdr:spPr>
        <a:xfrm>
          <a:off x="2807366" y="5594683"/>
          <a:ext cx="304132" cy="414421"/>
        </a:xfrm>
        <a:prstGeom prst="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C34"/>
  <sheetViews>
    <sheetView topLeftCell="A25" zoomScale="190" zoomScaleNormal="190" workbookViewId="0">
      <selection activeCell="N27" sqref="N27"/>
    </sheetView>
  </sheetViews>
  <sheetFormatPr defaultColWidth="2.42578125" defaultRowHeight="15" x14ac:dyDescent="0.25"/>
  <cols>
    <col min="7" max="7" width="3.140625" customWidth="1"/>
    <col min="8" max="9" width="4.140625" customWidth="1"/>
    <col min="10" max="10" width="5" customWidth="1"/>
    <col min="11" max="13" width="3.28515625" customWidth="1"/>
  </cols>
  <sheetData>
    <row r="2" spans="2:22" x14ac:dyDescent="0.25">
      <c r="B2" t="s">
        <v>0</v>
      </c>
    </row>
    <row r="4" spans="2:22" x14ac:dyDescent="0.25">
      <c r="C4" t="s">
        <v>1</v>
      </c>
      <c r="H4" t="s">
        <v>2</v>
      </c>
    </row>
    <row r="6" spans="2:22" x14ac:dyDescent="0.25">
      <c r="C6" t="s">
        <v>3</v>
      </c>
    </row>
    <row r="7" spans="2:22" ht="15.75" thickBot="1" x14ac:dyDescent="0.3">
      <c r="C7" t="s">
        <v>4</v>
      </c>
    </row>
    <row r="8" spans="2:22" x14ac:dyDescent="0.25">
      <c r="C8" s="1" t="s">
        <v>5</v>
      </c>
      <c r="D8" s="2"/>
      <c r="E8" s="2"/>
      <c r="F8" s="2"/>
      <c r="G8" s="2"/>
      <c r="H8" s="3"/>
      <c r="J8" t="s">
        <v>6</v>
      </c>
    </row>
    <row r="9" spans="2:22" ht="15.75" thickBot="1" x14ac:dyDescent="0.3">
      <c r="C9" s="4" t="s">
        <v>8</v>
      </c>
      <c r="D9" s="5"/>
      <c r="E9" s="5"/>
      <c r="F9" s="5"/>
      <c r="G9" s="5"/>
      <c r="H9" s="6"/>
      <c r="J9" t="s">
        <v>7</v>
      </c>
    </row>
    <row r="11" spans="2:22" x14ac:dyDescent="0.25">
      <c r="C11" s="10">
        <v>0</v>
      </c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22" x14ac:dyDescent="0.25">
      <c r="C12" s="8">
        <v>1</v>
      </c>
      <c r="D12" s="8">
        <f>C12*D11</f>
        <v>1</v>
      </c>
      <c r="E12" s="8">
        <f t="shared" ref="E12:F12" si="0">D12*E11</f>
        <v>2</v>
      </c>
      <c r="F12" s="8">
        <f t="shared" si="0"/>
        <v>6</v>
      </c>
      <c r="G12" s="8">
        <f t="shared" ref="G12" si="1">F12*G11</f>
        <v>24</v>
      </c>
      <c r="H12" s="8">
        <f t="shared" ref="H12" si="2">G12*H11</f>
        <v>120</v>
      </c>
      <c r="I12" s="8">
        <f t="shared" ref="I12" si="3">H12*I11</f>
        <v>720</v>
      </c>
      <c r="J12" s="8">
        <f t="shared" ref="J12" si="4">I12*J11</f>
        <v>5040</v>
      </c>
    </row>
    <row r="15" spans="2:22" ht="15.75" thickBot="1" x14ac:dyDescent="0.3">
      <c r="C15" t="s">
        <v>9</v>
      </c>
    </row>
    <row r="16" spans="2:22" x14ac:dyDescent="0.25">
      <c r="C16" s="1" t="s">
        <v>10</v>
      </c>
      <c r="D16" s="2"/>
      <c r="E16" s="2"/>
      <c r="F16" s="2"/>
      <c r="G16" s="2"/>
      <c r="H16" s="2"/>
      <c r="I16" s="3"/>
      <c r="K16" t="s">
        <v>6</v>
      </c>
      <c r="V16">
        <v>9</v>
      </c>
    </row>
    <row r="17" spans="3:29" x14ac:dyDescent="0.25">
      <c r="C17" s="11" t="s">
        <v>11</v>
      </c>
      <c r="D17" s="12"/>
      <c r="E17" s="12"/>
      <c r="F17" s="12"/>
      <c r="G17" s="12"/>
      <c r="H17" s="12"/>
      <c r="I17" s="13"/>
      <c r="K17" t="s">
        <v>7</v>
      </c>
    </row>
    <row r="18" spans="3:29" ht="15.75" thickBot="1" x14ac:dyDescent="0.3">
      <c r="C18" s="4" t="s">
        <v>12</v>
      </c>
      <c r="D18" s="5"/>
      <c r="E18" s="5"/>
      <c r="F18" s="5"/>
      <c r="G18" s="5"/>
      <c r="H18" s="5"/>
      <c r="I18" s="6"/>
      <c r="K18" t="s">
        <v>7</v>
      </c>
      <c r="R18">
        <v>7</v>
      </c>
      <c r="Z18">
        <v>8</v>
      </c>
    </row>
    <row r="20" spans="3:29" x14ac:dyDescent="0.25">
      <c r="C20" s="10">
        <v>0</v>
      </c>
      <c r="D20" s="10">
        <v>1</v>
      </c>
      <c r="E20" s="10">
        <v>2</v>
      </c>
      <c r="F20" s="10">
        <v>3</v>
      </c>
      <c r="G20" s="10">
        <v>4</v>
      </c>
      <c r="H20" s="10">
        <v>5</v>
      </c>
      <c r="I20" s="10">
        <v>6</v>
      </c>
      <c r="J20" s="10">
        <v>7</v>
      </c>
      <c r="K20" s="10">
        <v>8</v>
      </c>
      <c r="L20" s="10">
        <v>9</v>
      </c>
      <c r="M20" s="10">
        <v>10</v>
      </c>
      <c r="P20" s="9">
        <v>5</v>
      </c>
      <c r="T20">
        <v>6</v>
      </c>
      <c r="X20">
        <v>6</v>
      </c>
      <c r="AB20">
        <v>7</v>
      </c>
    </row>
    <row r="21" spans="3:29" x14ac:dyDescent="0.25">
      <c r="C21" s="8">
        <v>0</v>
      </c>
      <c r="D21" s="8">
        <v>1</v>
      </c>
      <c r="E21" s="8">
        <f>D21+C21</f>
        <v>1</v>
      </c>
      <c r="F21" s="8">
        <f t="shared" ref="F21:J21" si="5">E21+D21</f>
        <v>2</v>
      </c>
      <c r="G21" s="8">
        <f t="shared" si="5"/>
        <v>3</v>
      </c>
      <c r="H21" s="8">
        <f t="shared" si="5"/>
        <v>5</v>
      </c>
      <c r="I21" s="8">
        <f t="shared" si="5"/>
        <v>8</v>
      </c>
      <c r="J21" s="8">
        <f t="shared" si="5"/>
        <v>13</v>
      </c>
      <c r="K21" s="8">
        <f t="shared" ref="K21" si="6">J21+I21</f>
        <v>21</v>
      </c>
      <c r="L21" s="8">
        <f t="shared" ref="L21" si="7">K21+J21</f>
        <v>34</v>
      </c>
      <c r="M21" s="8">
        <f t="shared" ref="M21" si="8">L21+K21</f>
        <v>55</v>
      </c>
    </row>
    <row r="22" spans="3:29" x14ac:dyDescent="0.25">
      <c r="AA22">
        <v>5</v>
      </c>
      <c r="AC22">
        <v>6</v>
      </c>
    </row>
    <row r="24" spans="3:29" x14ac:dyDescent="0.25">
      <c r="C24" t="s">
        <v>13</v>
      </c>
    </row>
    <row r="27" spans="3:29" x14ac:dyDescent="0.25">
      <c r="C27" t="s">
        <v>14</v>
      </c>
      <c r="N27" s="7">
        <v>1</v>
      </c>
      <c r="O27" s="7" t="s">
        <v>21</v>
      </c>
      <c r="P27" s="7">
        <v>2</v>
      </c>
      <c r="Q27" s="7" t="s">
        <v>21</v>
      </c>
      <c r="R27" s="7">
        <v>3</v>
      </c>
      <c r="S27" s="7" t="s">
        <v>22</v>
      </c>
      <c r="T27" s="7">
        <v>6</v>
      </c>
      <c r="U27" s="7"/>
      <c r="V27" s="7"/>
    </row>
    <row r="28" spans="3:29" ht="15.75" thickBot="1" x14ac:dyDescent="0.3">
      <c r="N28" s="7"/>
      <c r="O28" s="7"/>
      <c r="P28" s="7"/>
      <c r="Q28" s="7"/>
      <c r="R28" s="7"/>
      <c r="S28" s="7"/>
      <c r="T28" s="7"/>
      <c r="U28" s="7"/>
      <c r="V28" s="7"/>
    </row>
    <row r="29" spans="3:29" ht="15.75" thickBot="1" x14ac:dyDescent="0.3">
      <c r="C29" s="16" t="s">
        <v>15</v>
      </c>
      <c r="D29" s="17"/>
      <c r="E29" s="17"/>
      <c r="F29" s="17"/>
      <c r="G29" s="17"/>
      <c r="H29" s="17"/>
      <c r="I29" s="18"/>
      <c r="N29" s="14"/>
      <c r="O29" s="7"/>
      <c r="P29" s="14"/>
      <c r="Q29" s="7"/>
      <c r="R29" s="14"/>
      <c r="S29" s="7"/>
      <c r="T29" s="7">
        <v>2</v>
      </c>
      <c r="U29" s="7"/>
      <c r="V29" s="7"/>
    </row>
    <row r="30" spans="3:29" x14ac:dyDescent="0.25">
      <c r="C30" t="s">
        <v>16</v>
      </c>
      <c r="N30" s="14"/>
      <c r="O30" s="7"/>
      <c r="P30" s="14"/>
      <c r="Q30" s="7"/>
      <c r="R30" s="14"/>
      <c r="S30" s="7"/>
      <c r="T30" s="7"/>
      <c r="U30" s="7"/>
      <c r="V30" s="7"/>
    </row>
    <row r="31" spans="3:29" ht="15.75" thickBot="1" x14ac:dyDescent="0.3">
      <c r="C31" t="s">
        <v>17</v>
      </c>
      <c r="N31" s="14"/>
      <c r="O31" s="7"/>
      <c r="P31" s="14"/>
      <c r="Q31" s="7"/>
      <c r="R31" s="14"/>
      <c r="S31" s="7"/>
      <c r="T31" s="7">
        <v>1</v>
      </c>
      <c r="U31" s="7" t="s">
        <v>20</v>
      </c>
      <c r="V31" s="7">
        <v>3</v>
      </c>
    </row>
    <row r="32" spans="3:29" ht="15.75" thickBot="1" x14ac:dyDescent="0.3">
      <c r="C32" s="16" t="s">
        <v>18</v>
      </c>
      <c r="D32" s="17"/>
      <c r="E32" s="17"/>
      <c r="F32" s="17"/>
      <c r="G32" s="17"/>
      <c r="H32" s="17"/>
      <c r="I32" s="18"/>
      <c r="N32" s="14"/>
      <c r="O32" s="7"/>
      <c r="P32" s="14"/>
      <c r="Q32" s="7"/>
      <c r="R32" s="14"/>
      <c r="S32" s="7"/>
      <c r="T32" s="7">
        <v>1</v>
      </c>
      <c r="U32" s="7" t="s">
        <v>20</v>
      </c>
      <c r="V32" s="7">
        <v>2</v>
      </c>
    </row>
    <row r="33" spans="3:22" ht="15.75" thickBot="1" x14ac:dyDescent="0.3">
      <c r="N33" s="15"/>
      <c r="O33" s="7"/>
      <c r="P33" s="15"/>
      <c r="Q33" s="7"/>
      <c r="R33" s="15"/>
      <c r="S33" s="7"/>
      <c r="T33" s="7">
        <v>3</v>
      </c>
      <c r="U33" s="7" t="s">
        <v>20</v>
      </c>
      <c r="V33" s="7">
        <v>2</v>
      </c>
    </row>
    <row r="34" spans="3:22" ht="15.75" thickTop="1" x14ac:dyDescent="0.25">
      <c r="C34" t="s">
        <v>19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G19"/>
  <sheetViews>
    <sheetView tabSelected="1" topLeftCell="A10" zoomScale="220" zoomScaleNormal="220" workbookViewId="0">
      <selection activeCell="AH12" sqref="AH12"/>
    </sheetView>
  </sheetViews>
  <sheetFormatPr defaultColWidth="3" defaultRowHeight="15" x14ac:dyDescent="0.25"/>
  <sheetData>
    <row r="2" spans="2:33" x14ac:dyDescent="0.25">
      <c r="B2" t="s">
        <v>23</v>
      </c>
    </row>
    <row r="3" spans="2:33" x14ac:dyDescent="0.25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 t="s">
        <v>24</v>
      </c>
      <c r="AG3" s="7" t="s">
        <v>24</v>
      </c>
    </row>
    <row r="4" spans="2:33" x14ac:dyDescent="0.25">
      <c r="B4" s="7">
        <v>1</v>
      </c>
      <c r="C4" s="7">
        <v>2</v>
      </c>
      <c r="D4" s="7">
        <v>3</v>
      </c>
      <c r="E4" s="7">
        <v>4</v>
      </c>
      <c r="F4" s="7">
        <v>5</v>
      </c>
      <c r="G4" s="7">
        <v>6</v>
      </c>
      <c r="H4" s="7">
        <v>7</v>
      </c>
      <c r="I4" s="7">
        <v>8</v>
      </c>
      <c r="J4" s="7">
        <v>9</v>
      </c>
      <c r="K4" s="7">
        <v>10</v>
      </c>
      <c r="L4" s="7">
        <v>11</v>
      </c>
      <c r="M4" s="7">
        <v>12</v>
      </c>
      <c r="N4" s="7">
        <v>13</v>
      </c>
      <c r="P4" s="7">
        <v>1</v>
      </c>
      <c r="Q4" s="7">
        <v>2</v>
      </c>
      <c r="R4" s="7">
        <v>3</v>
      </c>
      <c r="S4" s="7">
        <v>4</v>
      </c>
      <c r="T4" s="7">
        <v>5</v>
      </c>
      <c r="U4" s="7">
        <v>6</v>
      </c>
      <c r="V4" s="7">
        <v>7</v>
      </c>
      <c r="W4" s="7">
        <v>8</v>
      </c>
      <c r="X4" s="7">
        <v>9</v>
      </c>
      <c r="Y4" s="7">
        <v>10</v>
      </c>
      <c r="Z4" s="7">
        <v>11</v>
      </c>
      <c r="AA4" s="7">
        <v>12</v>
      </c>
      <c r="AB4" s="7">
        <v>13</v>
      </c>
      <c r="AC4" s="7">
        <v>14</v>
      </c>
      <c r="AD4" s="7">
        <v>15</v>
      </c>
      <c r="AE4" s="7">
        <v>16</v>
      </c>
      <c r="AF4" s="7">
        <v>17</v>
      </c>
      <c r="AG4" s="7">
        <v>18</v>
      </c>
    </row>
    <row r="5" spans="2:33" ht="15.75" thickBot="1" x14ac:dyDescent="0.3">
      <c r="B5" s="19">
        <v>2</v>
      </c>
      <c r="C5" s="21">
        <v>1</v>
      </c>
      <c r="D5" s="21">
        <v>1</v>
      </c>
      <c r="E5" s="21">
        <v>2</v>
      </c>
      <c r="F5" s="21">
        <v>1</v>
      </c>
      <c r="G5" s="21">
        <v>1</v>
      </c>
      <c r="H5" s="21">
        <v>2</v>
      </c>
      <c r="I5" s="21">
        <v>1</v>
      </c>
      <c r="J5" s="21">
        <v>1</v>
      </c>
      <c r="K5" s="21">
        <v>2</v>
      </c>
      <c r="L5" s="21">
        <v>1</v>
      </c>
      <c r="M5" s="21">
        <v>1</v>
      </c>
      <c r="N5" s="21">
        <v>2</v>
      </c>
      <c r="P5" s="29"/>
      <c r="Q5" s="21"/>
      <c r="R5" s="21"/>
      <c r="S5" s="21"/>
      <c r="T5" s="21"/>
      <c r="U5" s="21"/>
      <c r="V5" s="21"/>
      <c r="W5" s="21"/>
      <c r="X5" s="21"/>
      <c r="Y5" s="21"/>
      <c r="Z5" s="8"/>
      <c r="AA5" s="21"/>
      <c r="AB5" s="21"/>
      <c r="AC5" s="21"/>
      <c r="AD5" s="21"/>
      <c r="AE5" s="8"/>
      <c r="AF5" s="8"/>
      <c r="AG5" s="8"/>
    </row>
    <row r="6" spans="2:33" ht="15.75" thickBot="1" x14ac:dyDescent="0.3">
      <c r="C6" s="16"/>
      <c r="D6" s="17"/>
      <c r="E6" s="18"/>
      <c r="F6" s="16"/>
      <c r="G6" s="17"/>
      <c r="H6" s="18"/>
      <c r="I6" s="16"/>
      <c r="J6" s="17"/>
      <c r="K6" s="18"/>
      <c r="L6" s="16"/>
      <c r="M6" s="17"/>
      <c r="N6" s="18"/>
      <c r="P6" s="16"/>
      <c r="Q6" s="17"/>
      <c r="R6" s="17"/>
      <c r="S6" s="17"/>
      <c r="T6" s="18"/>
      <c r="U6" s="16"/>
      <c r="V6" s="17"/>
      <c r="W6" s="17"/>
      <c r="X6" s="17"/>
      <c r="Y6" s="18"/>
      <c r="Z6" s="16"/>
      <c r="AA6" s="17"/>
      <c r="AB6" s="17"/>
      <c r="AC6" s="17"/>
      <c r="AD6" s="18"/>
    </row>
    <row r="7" spans="2:33" x14ac:dyDescent="0.25">
      <c r="B7" s="20" t="s">
        <v>25</v>
      </c>
      <c r="F7">
        <v>2</v>
      </c>
      <c r="P7" s="20" t="s">
        <v>25</v>
      </c>
      <c r="T7">
        <v>4</v>
      </c>
    </row>
    <row r="8" spans="2:33" x14ac:dyDescent="0.25">
      <c r="H8" t="s">
        <v>26</v>
      </c>
      <c r="N8">
        <v>2</v>
      </c>
    </row>
    <row r="9" spans="2:33" x14ac:dyDescent="0.25">
      <c r="L9" t="s">
        <v>27</v>
      </c>
      <c r="N9">
        <v>1</v>
      </c>
    </row>
    <row r="11" spans="2:33" ht="15.75" thickBot="1" x14ac:dyDescent="0.3">
      <c r="B11" s="7"/>
      <c r="C11" s="7">
        <v>1</v>
      </c>
      <c r="D11" s="7">
        <v>2</v>
      </c>
      <c r="E11" s="7">
        <v>3</v>
      </c>
      <c r="F11" s="7">
        <v>4</v>
      </c>
      <c r="G11" s="7">
        <v>5</v>
      </c>
      <c r="H11" s="7" t="s">
        <v>29</v>
      </c>
    </row>
    <row r="12" spans="2:33" ht="15.75" thickTop="1" x14ac:dyDescent="0.25">
      <c r="B12" s="7">
        <v>1</v>
      </c>
      <c r="C12" s="37">
        <v>1</v>
      </c>
      <c r="D12" s="38">
        <v>2</v>
      </c>
      <c r="E12" s="35">
        <v>1</v>
      </c>
      <c r="F12" s="31">
        <v>2</v>
      </c>
      <c r="G12" s="47">
        <v>1</v>
      </c>
      <c r="H12" s="38">
        <v>2</v>
      </c>
      <c r="I12" s="32"/>
      <c r="N12" t="s">
        <v>56</v>
      </c>
      <c r="T12">
        <v>4</v>
      </c>
    </row>
    <row r="13" spans="2:33" x14ac:dyDescent="0.25">
      <c r="B13" s="7">
        <v>2</v>
      </c>
      <c r="C13" s="39">
        <v>2</v>
      </c>
      <c r="D13" s="40">
        <v>1</v>
      </c>
      <c r="E13" s="36">
        <v>2</v>
      </c>
      <c r="F13" s="8">
        <v>1</v>
      </c>
      <c r="G13" s="39">
        <v>2</v>
      </c>
      <c r="H13" s="40">
        <v>1</v>
      </c>
      <c r="I13" s="12"/>
      <c r="N13" t="s">
        <v>57</v>
      </c>
      <c r="T13">
        <v>2</v>
      </c>
    </row>
    <row r="14" spans="2:33" ht="15.75" thickBot="1" x14ac:dyDescent="0.3">
      <c r="B14" s="7">
        <v>3</v>
      </c>
      <c r="C14" s="41">
        <v>1</v>
      </c>
      <c r="D14" s="48">
        <v>1</v>
      </c>
      <c r="E14" s="49">
        <v>1</v>
      </c>
      <c r="F14" s="33">
        <v>1</v>
      </c>
      <c r="G14" s="41">
        <v>1</v>
      </c>
      <c r="H14" s="42">
        <v>1</v>
      </c>
      <c r="I14" s="34"/>
      <c r="K14" s="7"/>
      <c r="L14" s="7" t="s">
        <v>30</v>
      </c>
    </row>
    <row r="15" spans="2:33" ht="15.75" thickTop="1" x14ac:dyDescent="0.25">
      <c r="B15" s="7"/>
      <c r="C15" s="43">
        <v>1</v>
      </c>
      <c r="D15" s="53">
        <v>2</v>
      </c>
      <c r="E15" s="50">
        <v>1</v>
      </c>
      <c r="F15" s="30">
        <v>2</v>
      </c>
      <c r="G15" s="43">
        <v>1</v>
      </c>
      <c r="H15" s="44">
        <v>2</v>
      </c>
      <c r="K15" s="7"/>
      <c r="L15" s="7" t="s">
        <v>30</v>
      </c>
      <c r="N15" t="s">
        <v>58</v>
      </c>
    </row>
    <row r="16" spans="2:33" x14ac:dyDescent="0.25">
      <c r="B16" s="7" t="s">
        <v>24</v>
      </c>
      <c r="C16" s="39">
        <v>2</v>
      </c>
      <c r="D16" s="51">
        <v>1</v>
      </c>
      <c r="E16" s="52">
        <v>2</v>
      </c>
      <c r="F16" s="8">
        <v>1</v>
      </c>
      <c r="G16" s="39">
        <v>2</v>
      </c>
      <c r="H16" s="40">
        <v>1</v>
      </c>
      <c r="K16" s="7" t="s">
        <v>30</v>
      </c>
      <c r="L16" s="7" t="s">
        <v>28</v>
      </c>
      <c r="N16" t="s">
        <v>59</v>
      </c>
    </row>
    <row r="17" spans="3:27" x14ac:dyDescent="0.25">
      <c r="C17" s="45"/>
      <c r="D17" s="46"/>
      <c r="G17" s="45"/>
      <c r="H17" s="46"/>
    </row>
    <row r="18" spans="3:27" x14ac:dyDescent="0.25">
      <c r="P18" s="54">
        <v>2</v>
      </c>
      <c r="Q18" s="54">
        <v>1</v>
      </c>
      <c r="R18" s="54">
        <v>2</v>
      </c>
      <c r="S18" s="54">
        <v>1</v>
      </c>
      <c r="T18" s="54">
        <v>2</v>
      </c>
      <c r="U18" s="54">
        <v>1</v>
      </c>
      <c r="V18" s="54">
        <v>2</v>
      </c>
      <c r="W18" s="54">
        <v>1</v>
      </c>
      <c r="X18" s="54">
        <v>2</v>
      </c>
      <c r="Y18" s="54">
        <v>1</v>
      </c>
      <c r="Z18" s="54">
        <v>2</v>
      </c>
      <c r="AA18" s="54">
        <v>1</v>
      </c>
    </row>
    <row r="19" spans="3:27" x14ac:dyDescent="0.25">
      <c r="P19" s="54"/>
      <c r="Q19" s="54"/>
      <c r="R19" s="54"/>
      <c r="S19" s="54"/>
      <c r="T19" s="54"/>
      <c r="U19" s="54"/>
      <c r="V19" s="54"/>
      <c r="W19" s="54"/>
      <c r="X19" s="54">
        <v>1</v>
      </c>
      <c r="Y19" s="54">
        <v>2</v>
      </c>
      <c r="Z19" s="54">
        <v>1</v>
      </c>
      <c r="AA19" s="5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E56"/>
  <sheetViews>
    <sheetView topLeftCell="A50" zoomScale="325" zoomScaleNormal="325" workbookViewId="0">
      <selection activeCell="F51" sqref="F51:H53"/>
    </sheetView>
  </sheetViews>
  <sheetFormatPr defaultColWidth="3.140625" defaultRowHeight="15" x14ac:dyDescent="0.25"/>
  <cols>
    <col min="1" max="1" width="8.7109375" customWidth="1"/>
    <col min="2" max="2" width="4" bestFit="1" customWidth="1"/>
    <col min="4" max="4" width="4" bestFit="1" customWidth="1"/>
    <col min="5" max="5" width="3.28515625" bestFit="1" customWidth="1"/>
    <col min="6" max="6" width="4" bestFit="1" customWidth="1"/>
    <col min="7" max="7" width="3.28515625" bestFit="1" customWidth="1"/>
    <col min="8" max="8" width="4" bestFit="1" customWidth="1"/>
    <col min="9" max="9" width="3.28515625" bestFit="1" customWidth="1"/>
    <col min="10" max="10" width="5" bestFit="1" customWidth="1"/>
    <col min="11" max="11" width="3.28515625" bestFit="1" customWidth="1"/>
    <col min="13" max="13" width="4.140625" customWidth="1"/>
  </cols>
  <sheetData>
    <row r="2" spans="2:15" x14ac:dyDescent="0.25">
      <c r="B2" t="s">
        <v>31</v>
      </c>
      <c r="G2" t="s">
        <v>36</v>
      </c>
    </row>
    <row r="4" spans="2:15" x14ac:dyDescent="0.25">
      <c r="B4" s="8"/>
      <c r="C4" s="8"/>
      <c r="D4" s="8"/>
      <c r="E4" s="23"/>
      <c r="F4" s="8"/>
      <c r="G4" s="8"/>
      <c r="H4" s="8"/>
      <c r="I4" s="8"/>
      <c r="J4" s="22"/>
      <c r="K4" s="22"/>
      <c r="L4" s="22"/>
      <c r="M4" s="22"/>
      <c r="N4" s="22"/>
      <c r="O4" s="8"/>
    </row>
    <row r="5" spans="2:15" x14ac:dyDescent="0.25">
      <c r="B5" s="7">
        <v>1</v>
      </c>
      <c r="C5" s="7"/>
      <c r="D5" s="7"/>
      <c r="E5" s="24"/>
      <c r="F5" s="7"/>
      <c r="G5" s="7"/>
      <c r="H5" s="7"/>
      <c r="I5" s="7"/>
      <c r="J5" s="7"/>
      <c r="K5" s="7"/>
      <c r="L5" s="7"/>
      <c r="M5" s="7"/>
      <c r="N5" s="7"/>
      <c r="O5" s="7" t="s">
        <v>24</v>
      </c>
    </row>
    <row r="6" spans="2:15" x14ac:dyDescent="0.25">
      <c r="C6">
        <v>2</v>
      </c>
      <c r="E6" s="25"/>
      <c r="I6" t="s">
        <v>32</v>
      </c>
    </row>
    <row r="7" spans="2:15" x14ac:dyDescent="0.25">
      <c r="D7">
        <v>3</v>
      </c>
      <c r="E7" s="25"/>
      <c r="G7" t="s">
        <v>33</v>
      </c>
    </row>
    <row r="8" spans="2:15" x14ac:dyDescent="0.25">
      <c r="E8" s="25" t="s">
        <v>34</v>
      </c>
    </row>
    <row r="9" spans="2:15" x14ac:dyDescent="0.25">
      <c r="E9" s="25" t="s">
        <v>35</v>
      </c>
    </row>
    <row r="11" spans="2:15" x14ac:dyDescent="0.25">
      <c r="B11" t="s">
        <v>37</v>
      </c>
    </row>
    <row r="12" spans="2:15" x14ac:dyDescent="0.25">
      <c r="B12" s="7">
        <v>10</v>
      </c>
      <c r="C12" s="7" t="s">
        <v>22</v>
      </c>
      <c r="D12" s="7">
        <v>2</v>
      </c>
      <c r="E12" s="7">
        <v>5</v>
      </c>
      <c r="F12" s="7"/>
    </row>
    <row r="13" spans="2:15" x14ac:dyDescent="0.25">
      <c r="B13" s="7">
        <v>8</v>
      </c>
      <c r="C13" s="7" t="s">
        <v>22</v>
      </c>
      <c r="D13" s="7">
        <v>2</v>
      </c>
      <c r="E13" s="7">
        <v>2</v>
      </c>
      <c r="F13" s="7">
        <v>2</v>
      </c>
    </row>
    <row r="14" spans="2:15" x14ac:dyDescent="0.25">
      <c r="B14" s="7">
        <v>7</v>
      </c>
      <c r="C14" s="7" t="s">
        <v>22</v>
      </c>
      <c r="D14" s="7">
        <v>7</v>
      </c>
      <c r="E14" s="7"/>
      <c r="F14" s="7"/>
    </row>
    <row r="16" spans="2:15" x14ac:dyDescent="0.25">
      <c r="B16" t="s">
        <v>38</v>
      </c>
      <c r="I16" t="s">
        <v>41</v>
      </c>
    </row>
    <row r="17" spans="2:31" x14ac:dyDescent="0.25">
      <c r="AE17" s="7" t="s">
        <v>24</v>
      </c>
    </row>
    <row r="18" spans="2:31" x14ac:dyDescent="0.25">
      <c r="B18" s="7">
        <v>1</v>
      </c>
      <c r="C18" s="7">
        <v>2</v>
      </c>
      <c r="D18" s="7">
        <v>3</v>
      </c>
      <c r="E18" s="7">
        <v>4</v>
      </c>
      <c r="F18" s="7">
        <v>5</v>
      </c>
      <c r="G18" s="7">
        <v>6</v>
      </c>
      <c r="H18" s="7">
        <v>7</v>
      </c>
      <c r="I18" s="7">
        <v>8</v>
      </c>
      <c r="J18" s="7">
        <v>9</v>
      </c>
      <c r="K18" s="7">
        <v>10</v>
      </c>
      <c r="L18" s="7">
        <v>11</v>
      </c>
      <c r="M18" s="7">
        <v>12</v>
      </c>
      <c r="N18" s="7">
        <v>13</v>
      </c>
      <c r="O18" s="7">
        <v>14</v>
      </c>
      <c r="P18" s="7">
        <v>15</v>
      </c>
      <c r="Q18" s="7">
        <v>16</v>
      </c>
      <c r="R18" s="7">
        <v>17</v>
      </c>
      <c r="S18" s="7">
        <v>18</v>
      </c>
      <c r="T18" s="7">
        <v>19</v>
      </c>
      <c r="U18" s="7">
        <v>20</v>
      </c>
      <c r="V18" s="7">
        <v>21</v>
      </c>
      <c r="W18" s="7">
        <v>22</v>
      </c>
      <c r="X18" s="7">
        <v>23</v>
      </c>
      <c r="Y18" s="7">
        <v>24</v>
      </c>
      <c r="Z18" s="7">
        <v>25</v>
      </c>
      <c r="AA18" s="7">
        <v>26</v>
      </c>
      <c r="AB18" s="7">
        <v>27</v>
      </c>
      <c r="AC18" s="7">
        <v>28</v>
      </c>
      <c r="AD18" s="7">
        <v>29</v>
      </c>
      <c r="AE18" s="7">
        <v>30</v>
      </c>
    </row>
    <row r="19" spans="2:31" x14ac:dyDescent="0.25">
      <c r="B19" s="8" t="s">
        <v>39</v>
      </c>
      <c r="C19" s="8"/>
      <c r="D19" s="8"/>
      <c r="E19" s="8" t="s">
        <v>39</v>
      </c>
      <c r="F19" s="8"/>
      <c r="G19" s="8" t="s">
        <v>39</v>
      </c>
      <c r="H19" s="8"/>
      <c r="I19" s="8" t="s">
        <v>39</v>
      </c>
      <c r="J19" s="8" t="s">
        <v>39</v>
      </c>
      <c r="K19" s="8" t="s">
        <v>39</v>
      </c>
      <c r="L19" s="8"/>
      <c r="M19" s="8" t="s">
        <v>39</v>
      </c>
      <c r="N19" s="8"/>
      <c r="O19" s="8" t="s">
        <v>39</v>
      </c>
      <c r="P19" s="8" t="s">
        <v>39</v>
      </c>
      <c r="Q19" s="8" t="s">
        <v>39</v>
      </c>
      <c r="R19" s="8"/>
      <c r="S19" s="8" t="s">
        <v>39</v>
      </c>
      <c r="T19" s="8"/>
      <c r="U19" s="8" t="s">
        <v>39</v>
      </c>
      <c r="V19" s="8" t="s">
        <v>39</v>
      </c>
      <c r="W19" s="8" t="s">
        <v>39</v>
      </c>
      <c r="X19" s="8"/>
      <c r="Y19" s="8" t="s">
        <v>39</v>
      </c>
      <c r="Z19" s="8" t="s">
        <v>39</v>
      </c>
      <c r="AA19" s="8" t="s">
        <v>39</v>
      </c>
      <c r="AB19" s="8" t="s">
        <v>39</v>
      </c>
      <c r="AC19" s="8" t="s">
        <v>39</v>
      </c>
      <c r="AD19" s="8"/>
      <c r="AE19" s="8" t="s">
        <v>39</v>
      </c>
    </row>
    <row r="20" spans="2:31" x14ac:dyDescent="0.25">
      <c r="B20" s="7"/>
      <c r="C20" s="7" t="s">
        <v>40</v>
      </c>
      <c r="D20" s="7" t="s">
        <v>40</v>
      </c>
      <c r="E20" s="7"/>
      <c r="F20" s="7" t="s">
        <v>40</v>
      </c>
      <c r="G20" s="7"/>
      <c r="H20" s="7"/>
      <c r="I20" s="7"/>
      <c r="J20" s="7"/>
      <c r="K20" s="7" t="s">
        <v>42</v>
      </c>
      <c r="L20" s="7"/>
      <c r="M20" s="7"/>
      <c r="N20" s="7"/>
      <c r="O20" s="7"/>
      <c r="P20" s="7" t="s">
        <v>42</v>
      </c>
      <c r="Q20" s="7"/>
      <c r="R20" s="7"/>
      <c r="S20" s="7"/>
      <c r="T20" s="7"/>
      <c r="U20" s="7" t="s">
        <v>42</v>
      </c>
      <c r="V20" s="7"/>
      <c r="W20" s="7"/>
      <c r="X20" s="7"/>
      <c r="Y20" s="7"/>
      <c r="Z20" s="7" t="s">
        <v>39</v>
      </c>
      <c r="AA20" s="7"/>
      <c r="AB20" s="7"/>
      <c r="AC20" s="7"/>
      <c r="AD20" s="7"/>
      <c r="AE20" s="7"/>
    </row>
    <row r="21" spans="2:31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spans="2:31" x14ac:dyDescent="0.25">
      <c r="B22" t="s">
        <v>51</v>
      </c>
    </row>
    <row r="23" spans="2:31" x14ac:dyDescent="0.25">
      <c r="D23" s="26">
        <f>E23*2</f>
        <v>128</v>
      </c>
      <c r="E23" s="26">
        <f t="shared" ref="E23:I23" si="0">F23*2</f>
        <v>64</v>
      </c>
      <c r="F23" s="26">
        <f t="shared" si="0"/>
        <v>32</v>
      </c>
      <c r="G23" s="26">
        <f t="shared" si="0"/>
        <v>16</v>
      </c>
      <c r="H23" s="26">
        <f t="shared" si="0"/>
        <v>8</v>
      </c>
      <c r="I23" s="26">
        <f t="shared" si="0"/>
        <v>4</v>
      </c>
      <c r="J23" s="26">
        <f>K23*2</f>
        <v>2</v>
      </c>
      <c r="K23" s="26">
        <v>1</v>
      </c>
    </row>
    <row r="24" spans="2:31" x14ac:dyDescent="0.25">
      <c r="B24" s="7" t="s">
        <v>30</v>
      </c>
      <c r="C24" s="7" t="s">
        <v>22</v>
      </c>
      <c r="D24" s="7">
        <v>0</v>
      </c>
      <c r="E24" s="7">
        <v>0</v>
      </c>
      <c r="F24" s="7">
        <v>0</v>
      </c>
      <c r="G24" s="7">
        <v>1</v>
      </c>
      <c r="H24" s="7">
        <v>0</v>
      </c>
      <c r="I24" s="7">
        <v>1</v>
      </c>
      <c r="J24" s="7">
        <v>1</v>
      </c>
      <c r="K24" s="7">
        <v>0</v>
      </c>
      <c r="L24" s="7" t="s">
        <v>22</v>
      </c>
      <c r="M24">
        <f>K24*K$23+J24*J$23+I24*I$23+H24*H$23+G24*G$23+F24*F$23+E24*E$23+D24*D$23</f>
        <v>22</v>
      </c>
    </row>
    <row r="25" spans="2:31" x14ac:dyDescent="0.25">
      <c r="H25" s="7" t="s">
        <v>43</v>
      </c>
    </row>
    <row r="26" spans="2:31" x14ac:dyDescent="0.25">
      <c r="B26" s="27" t="s">
        <v>44</v>
      </c>
      <c r="C26" s="7" t="s">
        <v>22</v>
      </c>
      <c r="D26" s="7">
        <v>1</v>
      </c>
      <c r="E26" s="7">
        <v>0</v>
      </c>
      <c r="F26" s="7">
        <v>1</v>
      </c>
      <c r="G26" s="7">
        <v>1</v>
      </c>
      <c r="H26" s="7">
        <v>0</v>
      </c>
      <c r="I26" s="7">
        <v>0</v>
      </c>
      <c r="J26" s="7">
        <v>0</v>
      </c>
      <c r="K26" s="7">
        <v>0</v>
      </c>
      <c r="L26" s="7" t="s">
        <v>22</v>
      </c>
      <c r="M26">
        <f>K26*K$23+J26*J$23+I26*I$23+H26*H$23+G26*G$23+F26*F$23+E26*E$23+D26*D$23</f>
        <v>176</v>
      </c>
    </row>
    <row r="28" spans="2:31" x14ac:dyDescent="0.25">
      <c r="B28" s="27" t="s">
        <v>45</v>
      </c>
      <c r="C28" s="7" t="s">
        <v>22</v>
      </c>
      <c r="D28" s="7">
        <v>0</v>
      </c>
      <c r="E28" s="7">
        <v>0</v>
      </c>
      <c r="F28" s="7">
        <v>0</v>
      </c>
      <c r="G28" s="7">
        <v>0</v>
      </c>
      <c r="H28" s="7">
        <v>1</v>
      </c>
      <c r="I28" s="7">
        <v>0</v>
      </c>
      <c r="J28" s="7">
        <v>1</v>
      </c>
      <c r="K28" s="7">
        <v>1</v>
      </c>
      <c r="L28" s="7" t="s">
        <v>22</v>
      </c>
      <c r="M28">
        <f>K28*K$23+J28*J$23+I28*I$23+H28*H$23+G28*G$23+F28*F$23+E28*E$23+D28*D$23</f>
        <v>11</v>
      </c>
    </row>
    <row r="30" spans="2:31" x14ac:dyDescent="0.25">
      <c r="B30" s="27" t="s">
        <v>46</v>
      </c>
      <c r="C30" t="s">
        <v>22</v>
      </c>
      <c r="D30" s="7">
        <v>0</v>
      </c>
      <c r="E30" s="7">
        <v>0</v>
      </c>
      <c r="F30" s="7">
        <v>0</v>
      </c>
      <c r="G30" s="7">
        <v>0</v>
      </c>
      <c r="H30" s="7">
        <v>1</v>
      </c>
      <c r="I30" s="7">
        <v>0</v>
      </c>
      <c r="J30" s="7">
        <v>0</v>
      </c>
      <c r="K30" s="7">
        <v>0</v>
      </c>
    </row>
    <row r="32" spans="2:31" x14ac:dyDescent="0.25">
      <c r="B32" s="27" t="s">
        <v>47</v>
      </c>
      <c r="C32" s="7" t="s">
        <v>22</v>
      </c>
      <c r="D32" s="7">
        <v>0</v>
      </c>
      <c r="E32" s="7">
        <v>0</v>
      </c>
      <c r="F32" s="7">
        <v>0</v>
      </c>
      <c r="G32" s="7">
        <v>0</v>
      </c>
      <c r="H32" s="7">
        <v>1</v>
      </c>
      <c r="I32" s="7">
        <v>0</v>
      </c>
      <c r="J32" s="7">
        <v>0</v>
      </c>
      <c r="K32" s="7">
        <v>0</v>
      </c>
      <c r="L32" s="7" t="s">
        <v>22</v>
      </c>
      <c r="M32" s="7">
        <f>K32*K$23+J32*J$23+I32*I$23+H32*H$23+G32*G$23+F32*F$23+E32*E$23+D32*D$23</f>
        <v>8</v>
      </c>
    </row>
    <row r="34" spans="1:13" x14ac:dyDescent="0.25">
      <c r="B34" s="7" t="s">
        <v>30</v>
      </c>
      <c r="C34" s="7" t="s">
        <v>22</v>
      </c>
      <c r="D34" s="7">
        <v>0</v>
      </c>
      <c r="E34" s="7">
        <v>0</v>
      </c>
      <c r="F34" s="7">
        <v>0</v>
      </c>
      <c r="G34" s="7">
        <v>1</v>
      </c>
      <c r="H34" s="7">
        <v>0</v>
      </c>
      <c r="I34" s="7">
        <v>1</v>
      </c>
      <c r="J34" s="7">
        <v>1</v>
      </c>
      <c r="K34" s="7">
        <v>0</v>
      </c>
      <c r="L34" s="7" t="s">
        <v>22</v>
      </c>
      <c r="M34">
        <f>K34*K$23+J34*J$23+I34*I$23+H34*H$23+G34*G$23+F34*F$23+E34*E$23+D34*D$23</f>
        <v>22</v>
      </c>
    </row>
    <row r="35" spans="1:13" x14ac:dyDescent="0.25">
      <c r="H35" s="7" t="s">
        <v>43</v>
      </c>
    </row>
    <row r="36" spans="1:13" x14ac:dyDescent="0.25">
      <c r="B36" s="27" t="s">
        <v>46</v>
      </c>
      <c r="C36" s="7" t="s">
        <v>22</v>
      </c>
      <c r="D36" s="7">
        <v>0</v>
      </c>
      <c r="E36" s="7">
        <v>0</v>
      </c>
      <c r="F36" s="7">
        <v>0</v>
      </c>
      <c r="G36" s="7">
        <v>0</v>
      </c>
      <c r="H36" s="7">
        <v>1</v>
      </c>
      <c r="I36" s="7">
        <v>0</v>
      </c>
      <c r="J36" s="7">
        <v>0</v>
      </c>
      <c r="K36" s="7">
        <v>0</v>
      </c>
      <c r="L36" s="7"/>
      <c r="M36" s="7"/>
    </row>
    <row r="37" spans="1:13" x14ac:dyDescent="0.25"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 x14ac:dyDescent="0.25">
      <c r="B38" s="27" t="s">
        <v>48</v>
      </c>
      <c r="C38" s="7" t="s">
        <v>22</v>
      </c>
      <c r="D38" s="7">
        <v>0</v>
      </c>
      <c r="E38" s="7">
        <v>0</v>
      </c>
      <c r="F38" s="7">
        <v>0</v>
      </c>
      <c r="G38" s="7">
        <v>1</v>
      </c>
      <c r="H38" s="7">
        <v>1</v>
      </c>
      <c r="I38" s="7">
        <v>1</v>
      </c>
      <c r="J38" s="7">
        <v>1</v>
      </c>
      <c r="K38" s="7">
        <v>0</v>
      </c>
      <c r="L38" s="7" t="s">
        <v>22</v>
      </c>
      <c r="M38" s="7">
        <f>K38*K$23+J38*J$23+I38*I$23+H38*H$23+G38*G$23+F38*F$23+E38*E$23+D38*D$23</f>
        <v>30</v>
      </c>
    </row>
    <row r="40" spans="1:13" x14ac:dyDescent="0.25">
      <c r="B40" s="27" t="s">
        <v>49</v>
      </c>
      <c r="D40" s="7">
        <v>1</v>
      </c>
      <c r="E40" s="7">
        <v>1</v>
      </c>
      <c r="F40" s="7">
        <v>1</v>
      </c>
      <c r="G40" s="7">
        <v>1</v>
      </c>
      <c r="H40" s="7">
        <v>0</v>
      </c>
      <c r="I40" s="7">
        <v>1</v>
      </c>
      <c r="J40" s="7">
        <v>1</v>
      </c>
      <c r="K40" s="7">
        <v>1</v>
      </c>
    </row>
    <row r="42" spans="1:13" x14ac:dyDescent="0.25">
      <c r="A42" s="27" t="s">
        <v>50</v>
      </c>
    </row>
    <row r="44" spans="1:13" x14ac:dyDescent="0.25">
      <c r="B44" t="s">
        <v>52</v>
      </c>
    </row>
    <row r="45" spans="1:13" x14ac:dyDescent="0.25">
      <c r="B45" t="s">
        <v>53</v>
      </c>
      <c r="F45" t="s">
        <v>55</v>
      </c>
    </row>
    <row r="47" spans="1:13" x14ac:dyDescent="0.25">
      <c r="B47" s="7">
        <v>350</v>
      </c>
      <c r="C47" s="7" t="s">
        <v>22</v>
      </c>
      <c r="D47" s="28">
        <v>2</v>
      </c>
      <c r="E47" s="28">
        <v>5</v>
      </c>
      <c r="F47" s="7">
        <v>5</v>
      </c>
      <c r="G47" s="28">
        <v>7</v>
      </c>
      <c r="H47" s="7"/>
      <c r="J47">
        <f>2*5*7</f>
        <v>70</v>
      </c>
    </row>
    <row r="48" spans="1:13" x14ac:dyDescent="0.25">
      <c r="B48" s="7">
        <v>420</v>
      </c>
      <c r="C48" s="7" t="s">
        <v>22</v>
      </c>
      <c r="D48" s="28">
        <v>2</v>
      </c>
      <c r="E48" s="7">
        <v>2</v>
      </c>
      <c r="F48" s="7">
        <v>3</v>
      </c>
      <c r="G48" s="28">
        <v>5</v>
      </c>
      <c r="H48" s="28">
        <v>7</v>
      </c>
      <c r="J48">
        <f>J47*2*3*5</f>
        <v>2100</v>
      </c>
    </row>
    <row r="50" spans="2:8" x14ac:dyDescent="0.25">
      <c r="B50" t="s">
        <v>54</v>
      </c>
    </row>
    <row r="51" spans="2:8" x14ac:dyDescent="0.25">
      <c r="B51" s="7">
        <v>350</v>
      </c>
      <c r="C51" s="7"/>
      <c r="D51" s="7">
        <v>420</v>
      </c>
      <c r="F51">
        <v>350</v>
      </c>
      <c r="H51">
        <v>420</v>
      </c>
    </row>
    <row r="52" spans="2:8" x14ac:dyDescent="0.25">
      <c r="B52" s="7">
        <v>350</v>
      </c>
      <c r="C52" s="7"/>
      <c r="D52" s="7">
        <v>70</v>
      </c>
      <c r="F52">
        <v>350</v>
      </c>
      <c r="H52">
        <v>70</v>
      </c>
    </row>
    <row r="53" spans="2:8" x14ac:dyDescent="0.25">
      <c r="B53" s="7">
        <v>280</v>
      </c>
      <c r="C53" s="7"/>
      <c r="D53" s="7">
        <v>70</v>
      </c>
      <c r="F53">
        <v>0</v>
      </c>
      <c r="H53">
        <v>70</v>
      </c>
    </row>
    <row r="54" spans="2:8" x14ac:dyDescent="0.25">
      <c r="B54" s="7">
        <v>210</v>
      </c>
      <c r="C54" s="7"/>
      <c r="D54" s="7">
        <v>70</v>
      </c>
    </row>
    <row r="55" spans="2:8" x14ac:dyDescent="0.25">
      <c r="B55" s="7">
        <v>140</v>
      </c>
      <c r="C55" s="7"/>
      <c r="D55" s="7">
        <v>70</v>
      </c>
    </row>
    <row r="56" spans="2:8" x14ac:dyDescent="0.25">
      <c r="B56" s="7">
        <v>70</v>
      </c>
      <c r="C56" s="7" t="s">
        <v>22</v>
      </c>
      <c r="D56" s="7">
        <v>70</v>
      </c>
    </row>
  </sheetData>
  <conditionalFormatting sqref="B19:AE19">
    <cfRule type="cellIs" dxfId="0" priority="1" operator="equal">
      <formula>"*"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Sabaleuskaya Alena P.</dc:creator>
  <cp:lastModifiedBy>buslavsky</cp:lastModifiedBy>
  <dcterms:created xsi:type="dcterms:W3CDTF">2026-02-19T08:08:57Z</dcterms:created>
  <dcterms:modified xsi:type="dcterms:W3CDTF">2026-02-24T11:22:06Z</dcterms:modified>
</cp:coreProperties>
</file>